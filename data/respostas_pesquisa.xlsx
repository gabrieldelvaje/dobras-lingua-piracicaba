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f500be6cb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stas" sheetId="1" r:id="R6768141119a84ec2"/>
    <x:sheet xmlns:r="http://schemas.openxmlformats.org/officeDocument/2006/relationships" name="Resumo" sheetId="2" r:id="R7ed66b24aa1c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:ss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36FE"/>
      </x:patternFill>
    </x:fill>
    <x:fill>
      <x:patternFill patternType="solid">
        <x:fgColor rgb="FF231F20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0b2db7a64497f" /><Relationship Type="http://schemas.openxmlformats.org/officeDocument/2006/relationships/theme" Target="/xl/theme/theme1.xml" Id="R0150b9383fb84160" /><Relationship Type="http://schemas.openxmlformats.org/officeDocument/2006/relationships/sharedStrings" Target="/xl/sharedStrings.xml" Id="R6a1b1f5a43954380" /><Relationship Type="http://schemas.openxmlformats.org/officeDocument/2006/relationships/worksheet" Target="/xl/worksheets/sheet1.xml" Id="R6768141119a84ec2" /><Relationship Type="http://schemas.openxmlformats.org/officeDocument/2006/relationships/worksheet" Target="/xl/worksheets/sheet2.xml" Id="R7ed66b24aa1c4e1e" /></Relationships>
</file>

<file path=xl/tables/table1.xml><?xml version="1.0" encoding="utf-8"?>
<x:table xmlns:x="http://schemas.openxmlformats.org/spreadsheetml/2006/main" id="1" name="RespostasTable" displayName="RespostasTable" ref="A1:D80" headerRowCount="1" totalsRowCount="0" totalsRowShown="0">
  <x:tableColumns count="4">
    <x:tableColumn id="1" name="Carimbo de data/hora"/>
    <x:tableColumn id="2" name="Consegue dobrar a língua?"/>
    <x:tableColumn id="3" name="Mora em Piracicaba? (original)"/>
    <x:tableColumn id="4" name="Mora em Piracicaba? (normalizado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130fafd82d4d7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2" hidden="0" customWidth="1"/>
    <x:col min="4" max="4" width="30" hidden="0" customWidth="1"/>
  </x:cols>
  <x:sheetData>
    <x:row r="1">
      <x:c r="A1" s="10" t="str">
        <x:v>Carimbo de data/hora</x:v>
      </x:c>
      <x:c r="B1" s="10" t="str">
        <x:v>Consegue dobrar a língua?</x:v>
      </x:c>
      <x:c r="C1" s="10" t="str">
        <x:v>Mora em Piracicaba? (original)</x:v>
      </x:c>
      <x:c r="D1" s="10" t="str">
        <x:v>Mora em Piracicaba? (normalizado)</x:v>
      </x:c>
    </x:row>
    <x:row r="2">
      <x:c r="A2" s="11" t="n">
        <x:v>46245.9933912037</x:v>
      </x:c>
      <x:c r="B2" s="12" t="str">
        <x:v>Sim</x:v>
      </x:c>
      <x:c r="C2" s="12" t="str">
        <x:v>santa rita</x:v>
      </x:c>
      <x:c r="D2" s="12" t="str">
        <x:v>Sim</x:v>
      </x:c>
    </x:row>
    <x:row r="3">
      <x:c r="A3" s="11" t="n">
        <x:v>46246.30260416667</x:v>
      </x:c>
      <x:c r="B3" s="12" t="str">
        <x:v>Não</x:v>
      </x:c>
      <x:c r="C3" s="12" t="str">
        <x:v>Sim</x:v>
      </x:c>
      <x:c r="D3" s="12" t="str">
        <x:v>Sim</x:v>
      </x:c>
    </x:row>
    <x:row r="4">
      <x:c r="A4" s="11" t="n">
        <x:v>46246.31520833333</x:v>
      </x:c>
      <x:c r="B4" s="12" t="str">
        <x:v>Sim</x:v>
      </x:c>
      <x:c r="C4" s="12" t="str">
        <x:v>Sim</x:v>
      </x:c>
      <x:c r="D4" s="12" t="str">
        <x:v>Sim</x:v>
      </x:c>
    </x:row>
    <x:row r="5">
      <x:c r="A5" s="11" t="n">
        <x:v>46246.32082175926</x:v>
      </x:c>
      <x:c r="B5" s="12" t="str">
        <x:v>Não</x:v>
      </x:c>
      <x:c r="C5" s="12" t="str">
        <x:v>Sim</x:v>
      </x:c>
      <x:c r="D5" s="12" t="str">
        <x:v>Sim</x:v>
      </x:c>
    </x:row>
    <x:row r="6">
      <x:c r="A6" s="11" t="n">
        <x:v>46246.32377314815</x:v>
      </x:c>
      <x:c r="B6" s="12" t="str">
        <x:v>Não</x:v>
      </x:c>
      <x:c r="C6" s="12" t="str">
        <x:v>Sim</x:v>
      </x:c>
      <x:c r="D6" s="12" t="str">
        <x:v>Sim</x:v>
      </x:c>
    </x:row>
    <x:row r="7">
      <x:c r="A7" s="11" t="n">
        <x:v>46246.32380787037</x:v>
      </x:c>
      <x:c r="B7" s="12" t="str">
        <x:v>Sim</x:v>
      </x:c>
      <x:c r="C7" s="12" t="str">
        <x:v>Sim</x:v>
      </x:c>
      <x:c r="D7" s="12" t="str">
        <x:v>Sim</x:v>
      </x:c>
    </x:row>
    <x:row r="8">
      <x:c r="A8" s="11" t="n">
        <x:v>46246.32388888889</x:v>
      </x:c>
      <x:c r="B8" s="12" t="str">
        <x:v>Sim</x:v>
      </x:c>
      <x:c r="C8" s="12" t="str">
        <x:v>Sim</x:v>
      </x:c>
      <x:c r="D8" s="12" t="str">
        <x:v>Sim</x:v>
      </x:c>
    </x:row>
    <x:row r="9">
      <x:c r="A9" s="11" t="n">
        <x:v>46246.32472222222</x:v>
      </x:c>
      <x:c r="B9" s="12" t="str">
        <x:v>Não</x:v>
      </x:c>
      <x:c r="C9" s="12" t="str">
        <x:v>Sim</x:v>
      </x:c>
      <x:c r="D9" s="12" t="str">
        <x:v>Sim</x:v>
      </x:c>
    </x:row>
    <x:row r="10">
      <x:c r="A10" s="11" t="n">
        <x:v>46246.325636574074</x:v>
      </x:c>
      <x:c r="B10" s="12" t="str">
        <x:v>Sim</x:v>
      </x:c>
      <x:c r="C10" s="12" t="str">
        <x:v>Sim</x:v>
      </x:c>
      <x:c r="D10" s="12" t="str">
        <x:v>Sim</x:v>
      </x:c>
    </x:row>
    <x:row r="11">
      <x:c r="A11" s="11" t="n">
        <x:v>46246.32581018518</x:v>
      </x:c>
      <x:c r="B11" s="12" t="str">
        <x:v>Sim</x:v>
      </x:c>
      <x:c r="C11" s="12" t="str">
        <x:v>Sim</x:v>
      </x:c>
      <x:c r="D11" s="12" t="str">
        <x:v>Sim</x:v>
      </x:c>
    </x:row>
    <x:row r="12">
      <x:c r="A12" s="11" t="n">
        <x:v>46246.32653935185</x:v>
      </x:c>
      <x:c r="B12" s="12" t="str">
        <x:v>Não</x:v>
      </x:c>
      <x:c r="C12" s="12" t="str">
        <x:v>Sim</x:v>
      </x:c>
      <x:c r="D12" s="12" t="str">
        <x:v>Sim</x:v>
      </x:c>
    </x:row>
    <x:row r="13">
      <x:c r="A13" s="11" t="n">
        <x:v>46246.32740740741</x:v>
      </x:c>
      <x:c r="B13" s="12" t="str">
        <x:v>Sim</x:v>
      </x:c>
      <x:c r="C13" s="12" t="str">
        <x:v>Sim</x:v>
      </x:c>
      <x:c r="D13" s="12" t="str">
        <x:v>Sim</x:v>
      </x:c>
    </x:row>
    <x:row r="14">
      <x:c r="A14" s="11" t="n">
        <x:v>46246.32886574074</x:v>
      </x:c>
      <x:c r="B14" s="12" t="str">
        <x:v>Sim</x:v>
      </x:c>
      <x:c r="C14" s="12" t="str">
        <x:v>Sim</x:v>
      </x:c>
      <x:c r="D14" s="12" t="str">
        <x:v>Sim</x:v>
      </x:c>
    </x:row>
    <x:row r="15">
      <x:c r="A15" s="11" t="n">
        <x:v>46246.33127314815</x:v>
      </x:c>
      <x:c r="B15" s="12" t="str">
        <x:v>Sim</x:v>
      </x:c>
      <x:c r="C15" s="12" t="str">
        <x:v>Sim</x:v>
      </x:c>
      <x:c r="D15" s="12" t="str">
        <x:v>Sim</x:v>
      </x:c>
    </x:row>
    <x:row r="16">
      <x:c r="A16" s="11" t="n">
        <x:v>46246.33142361111</x:v>
      </x:c>
      <x:c r="B16" s="12" t="str">
        <x:v>Sim</x:v>
      </x:c>
      <x:c r="C16" s="12" t="str">
        <x:v>Sim</x:v>
      </x:c>
      <x:c r="D16" s="12" t="str">
        <x:v>Sim</x:v>
      </x:c>
    </x:row>
    <x:row r="17">
      <x:c r="A17" s="11" t="n">
        <x:v>46246.33186342593</x:v>
      </x:c>
      <x:c r="B17" s="12" t="str">
        <x:v>Sim</x:v>
      </x:c>
      <x:c r="C17" s="12" t="str">
        <x:v>Sim</x:v>
      </x:c>
      <x:c r="D17" s="12" t="str">
        <x:v>Sim</x:v>
      </x:c>
    </x:row>
    <x:row r="18">
      <x:c r="A18" s="11" t="n">
        <x:v>46246.33289351852</x:v>
      </x:c>
      <x:c r="B18" s="12" t="str">
        <x:v>Não</x:v>
      </x:c>
      <x:c r="C18" s="12" t="str">
        <x:v>Sim</x:v>
      </x:c>
      <x:c r="D18" s="12" t="str">
        <x:v>Sim</x:v>
      </x:c>
    </x:row>
    <x:row r="19">
      <x:c r="A19" s="11" t="n">
        <x:v>46246.33605324074</x:v>
      </x:c>
      <x:c r="B19" s="12" t="str">
        <x:v>Sim</x:v>
      </x:c>
      <x:c r="C19" s="12" t="str">
        <x:v>Não</x:v>
      </x:c>
      <x:c r="D19" s="12" t="str">
        <x:v>Não</x:v>
      </x:c>
    </x:row>
    <x:row r="20">
      <x:c r="A20" s="11" t="n">
        <x:v>46246.34030092593</x:v>
      </x:c>
      <x:c r="B20" s="12" t="str">
        <x:v>Sim</x:v>
      </x:c>
      <x:c r="C20" s="12" t="str">
        <x:v>Sim</x:v>
      </x:c>
      <x:c r="D20" s="12" t="str">
        <x:v>Sim</x:v>
      </x:c>
    </x:row>
    <x:row r="21">
      <x:c r="A21" s="11" t="n">
        <x:v>46246.34216435185</x:v>
      </x:c>
      <x:c r="B21" s="12" t="str">
        <x:v>Sim</x:v>
      </x:c>
      <x:c r="C21" s="12" t="str">
        <x:v>Sim</x:v>
      </x:c>
      <x:c r="D21" s="12" t="str">
        <x:v>Sim</x:v>
      </x:c>
    </x:row>
    <x:row r="22">
      <x:c r="A22" s="11" t="n">
        <x:v>46246.35539351852</x:v>
      </x:c>
      <x:c r="B22" s="12" t="str">
        <x:v>Sim</x:v>
      </x:c>
      <x:c r="C22" s="12" t="str">
        <x:v>Sim</x:v>
      </x:c>
      <x:c r="D22" s="12" t="str">
        <x:v>Sim</x:v>
      </x:c>
    </x:row>
    <x:row r="23">
      <x:c r="A23" s="11" t="n">
        <x:v>46246.357719907406</x:v>
      </x:c>
      <x:c r="B23" s="12" t="str">
        <x:v>Não</x:v>
      </x:c>
      <x:c r="C23" s="12" t="str">
        <x:v>Sim</x:v>
      </x:c>
      <x:c r="D23" s="12" t="str">
        <x:v>Sim</x:v>
      </x:c>
    </x:row>
    <x:row r="24">
      <x:c r="A24" s="11" t="n">
        <x:v>46246.357777777775</x:v>
      </x:c>
      <x:c r="B24" s="12" t="str">
        <x:v>Sim</x:v>
      </x:c>
      <x:c r="C24" s="12" t="str">
        <x:v>Sim</x:v>
      </x:c>
      <x:c r="D24" s="12" t="str">
        <x:v>Sim</x:v>
      </x:c>
    </x:row>
    <x:row r="25">
      <x:c r="A25" s="11" t="n">
        <x:v>46246.35800925926</x:v>
      </x:c>
      <x:c r="B25" s="12" t="str">
        <x:v>Sim</x:v>
      </x:c>
      <x:c r="C25" s="12" t="str">
        <x:v>Sim</x:v>
      </x:c>
      <x:c r="D25" s="12" t="str">
        <x:v>Sim</x:v>
      </x:c>
    </x:row>
    <x:row r="26">
      <x:c r="A26" s="11" t="n">
        <x:v>46246.36140046296</x:v>
      </x:c>
      <x:c r="B26" s="12" t="str">
        <x:v>Não</x:v>
      </x:c>
      <x:c r="C26" s="12" t="str">
        <x:v>Sim</x:v>
      </x:c>
      <x:c r="D26" s="12" t="str">
        <x:v>Sim</x:v>
      </x:c>
    </x:row>
    <x:row r="27">
      <x:c r="A27" s="11" t="n">
        <x:v>46246.36172453704</x:v>
      </x:c>
      <x:c r="B27" s="12" t="str">
        <x:v>Sim</x:v>
      </x:c>
      <x:c r="C27" s="12" t="str">
        <x:v>Sim</x:v>
      </x:c>
      <x:c r="D27" s="12" t="str">
        <x:v>Sim</x:v>
      </x:c>
    </x:row>
    <x:row r="28">
      <x:c r="A28" s="11" t="n">
        <x:v>46246.36269675926</x:v>
      </x:c>
      <x:c r="B28" s="12" t="str">
        <x:v>Sim</x:v>
      </x:c>
      <x:c r="C28" s="12" t="str">
        <x:v>Sim</x:v>
      </x:c>
      <x:c r="D28" s="12" t="str">
        <x:v>Sim</x:v>
      </x:c>
    </x:row>
    <x:row r="29">
      <x:c r="A29" s="11" t="n">
        <x:v>46246.36271990741</x:v>
      </x:c>
      <x:c r="B29" s="12" t="str">
        <x:v>Não</x:v>
      </x:c>
      <x:c r="C29" s="12" t="str">
        <x:v>Não</x:v>
      </x:c>
      <x:c r="D29" s="12" t="str">
        <x:v>Não</x:v>
      </x:c>
    </x:row>
    <x:row r="30">
      <x:c r="A30" s="11" t="n">
        <x:v>46246.36666666667</x:v>
      </x:c>
      <x:c r="B30" s="12" t="str">
        <x:v>Sim</x:v>
      </x:c>
      <x:c r="C30" s="12" t="str">
        <x:v>Sim</x:v>
      </x:c>
      <x:c r="D30" s="12" t="str">
        <x:v>Sim</x:v>
      </x:c>
    </x:row>
    <x:row r="31">
      <x:c r="A31" s="11" t="n">
        <x:v>46246.37396990741</x:v>
      </x:c>
      <x:c r="B31" s="12" t="str">
        <x:v>Sim</x:v>
      </x:c>
      <x:c r="C31" s="12" t="str">
        <x:v>Sim</x:v>
      </x:c>
      <x:c r="D31" s="12" t="str">
        <x:v>Sim</x:v>
      </x:c>
    </x:row>
    <x:row r="32">
      <x:c r="A32" s="11" t="n">
        <x:v>46246.37850694444</x:v>
      </x:c>
      <x:c r="B32" s="12" t="str">
        <x:v>Sim</x:v>
      </x:c>
      <x:c r="C32" s="12" t="str">
        <x:v>Não</x:v>
      </x:c>
      <x:c r="D32" s="12" t="str">
        <x:v>Não</x:v>
      </x:c>
    </x:row>
    <x:row r="33">
      <x:c r="A33" s="11" t="n">
        <x:v>46246.37957175926</x:v>
      </x:c>
      <x:c r="B33" s="12" t="str">
        <x:v>Sim</x:v>
      </x:c>
      <x:c r="C33" s="12" t="str">
        <x:v>Sim</x:v>
      </x:c>
      <x:c r="D33" s="12" t="str">
        <x:v>Sim</x:v>
      </x:c>
    </x:row>
    <x:row r="34">
      <x:c r="A34" s="11" t="n">
        <x:v>46246.380520833336</x:v>
      </x:c>
      <x:c r="B34" s="12" t="str">
        <x:v>Não</x:v>
      </x:c>
      <x:c r="C34" s="12" t="str">
        <x:v>Sim</x:v>
      </x:c>
      <x:c r="D34" s="12" t="str">
        <x:v>Sim</x:v>
      </x:c>
    </x:row>
    <x:row r="35">
      <x:c r="A35" s="11" t="n">
        <x:v>46246.38150462963</x:v>
      </x:c>
      <x:c r="B35" s="12" t="str">
        <x:v>Sim</x:v>
      </x:c>
      <x:c r="C35" s="12" t="str">
        <x:v>Sim</x:v>
      </x:c>
      <x:c r="D35" s="12" t="str">
        <x:v>Sim</x:v>
      </x:c>
    </x:row>
    <x:row r="36">
      <x:c r="A36" s="11" t="n">
        <x:v>46246.38517361111</x:v>
      </x:c>
      <x:c r="B36" s="12" t="str">
        <x:v>Não</x:v>
      </x:c>
      <x:c r="C36" s="12" t="str">
        <x:v>Sim</x:v>
      </x:c>
      <x:c r="D36" s="12" t="str">
        <x:v>Sim</x:v>
      </x:c>
    </x:row>
    <x:row r="37">
      <x:c r="A37" s="11" t="n">
        <x:v>46246.38547453703</x:v>
      </x:c>
      <x:c r="B37" s="12" t="str">
        <x:v>Sim</x:v>
      </x:c>
      <x:c r="C37" s="12" t="str">
        <x:v>Sim</x:v>
      </x:c>
      <x:c r="D37" s="12" t="str">
        <x:v>Sim</x:v>
      </x:c>
    </x:row>
    <x:row r="38">
      <x:c r="A38" s="11" t="n">
        <x:v>46246.389652777776</x:v>
      </x:c>
      <x:c r="B38" s="12" t="str">
        <x:v>Sim</x:v>
      </x:c>
      <x:c r="C38" s="12" t="str">
        <x:v>Sim</x:v>
      </x:c>
      <x:c r="D38" s="12" t="str">
        <x:v>Sim</x:v>
      </x:c>
    </x:row>
    <x:row r="39">
      <x:c r="A39" s="11" t="n">
        <x:v>46246.39747685185</x:v>
      </x:c>
      <x:c r="B39" s="12" t="str">
        <x:v>Sim</x:v>
      </x:c>
      <x:c r="C39" s="12" t="str">
        <x:v>Sim</x:v>
      </x:c>
      <x:c r="D39" s="12" t="str">
        <x:v>Sim</x:v>
      </x:c>
    </x:row>
    <x:row r="40">
      <x:c r="A40" s="11" t="n">
        <x:v>46246.40783564815</x:v>
      </x:c>
      <x:c r="B40" s="12" t="str">
        <x:v>Sim</x:v>
      </x:c>
      <x:c r="C40" s="12" t="str">
        <x:v>Sim</x:v>
      </x:c>
      <x:c r="D40" s="12" t="str">
        <x:v>Sim</x:v>
      </x:c>
    </x:row>
    <x:row r="41">
      <x:c r="A41" s="11" t="n">
        <x:v>46246.425844907404</x:v>
      </x:c>
      <x:c r="B41" s="12" t="str">
        <x:v>Sim</x:v>
      </x:c>
      <x:c r="C41" s="12" t="str">
        <x:v>Sim</x:v>
      </x:c>
      <x:c r="D41" s="12" t="str">
        <x:v>Sim</x:v>
      </x:c>
    </x:row>
    <x:row r="42">
      <x:c r="A42" s="11" t="n">
        <x:v>46246.435428240744</x:v>
      </x:c>
      <x:c r="B42" s="12" t="str">
        <x:v>Sim</x:v>
      </x:c>
      <x:c r="C42" s="12" t="str">
        <x:v>Sim</x:v>
      </x:c>
      <x:c r="D42" s="12" t="str">
        <x:v>Sim</x:v>
      </x:c>
    </x:row>
    <x:row r="43">
      <x:c r="A43" s="11" t="n">
        <x:v>46246.44204861111</x:v>
      </x:c>
      <x:c r="B43" s="12" t="str">
        <x:v>Sim</x:v>
      </x:c>
      <x:c r="C43" s="12" t="str">
        <x:v>Sim</x:v>
      </x:c>
      <x:c r="D43" s="12" t="str">
        <x:v>Sim</x:v>
      </x:c>
    </x:row>
    <x:row r="44">
      <x:c r="A44" s="11" t="n">
        <x:v>46246.44232638889</x:v>
      </x:c>
      <x:c r="B44" s="12" t="str">
        <x:v>Não</x:v>
      </x:c>
      <x:c r="C44" s="12" t="str">
        <x:v>Sim</x:v>
      </x:c>
      <x:c r="D44" s="12" t="str">
        <x:v>Sim</x:v>
      </x:c>
    </x:row>
    <x:row r="45">
      <x:c r="A45" s="11" t="n">
        <x:v>46246.44289351852</x:v>
      </x:c>
      <x:c r="B45" s="12" t="str">
        <x:v>Não</x:v>
      </x:c>
      <x:c r="C45" s="12" t="str">
        <x:v>Sim</x:v>
      </x:c>
      <x:c r="D45" s="12" t="str">
        <x:v>Sim</x:v>
      </x:c>
    </x:row>
    <x:row r="46">
      <x:c r="A46" s="11" t="n">
        <x:v>46246.44359953704</x:v>
      </x:c>
      <x:c r="B46" s="12" t="str">
        <x:v>Sim</x:v>
      </x:c>
      <x:c r="C46" s="12" t="str">
        <x:v>Sim</x:v>
      </x:c>
      <x:c r="D46" s="12" t="str">
        <x:v>Sim</x:v>
      </x:c>
    </x:row>
    <x:row r="47">
      <x:c r="A47" s="11" t="n">
        <x:v>46246.4440625</x:v>
      </x:c>
      <x:c r="B47" s="12" t="str">
        <x:v>Sim</x:v>
      </x:c>
      <x:c r="C47" s="12" t="str">
        <x:v>Sim</x:v>
      </x:c>
      <x:c r="D47" s="12" t="str">
        <x:v>Sim</x:v>
      </x:c>
    </x:row>
    <x:row r="48">
      <x:c r="A48" s="11" t="n">
        <x:v>46246.446493055555</x:v>
      </x:c>
      <x:c r="B48" s="12" t="str">
        <x:v>Sim</x:v>
      </x:c>
      <x:c r="C48" s="12" t="str">
        <x:v>Sim</x:v>
      </x:c>
      <x:c r="D48" s="12" t="str">
        <x:v>Sim</x:v>
      </x:c>
    </x:row>
    <x:row r="49">
      <x:c r="A49" s="11" t="n">
        <x:v>46246.4471875</x:v>
      </x:c>
      <x:c r="B49" s="12" t="str">
        <x:v>Sim</x:v>
      </x:c>
      <x:c r="C49" s="12" t="str">
        <x:v>Sim</x:v>
      </x:c>
      <x:c r="D49" s="12" t="str">
        <x:v>Sim</x:v>
      </x:c>
    </x:row>
    <x:row r="50">
      <x:c r="A50" s="11" t="n">
        <x:v>46246.45462962963</x:v>
      </x:c>
      <x:c r="B50" s="12" t="str">
        <x:v>Não</x:v>
      </x:c>
      <x:c r="C50" s="12" t="str">
        <x:v>Sim</x:v>
      </x:c>
      <x:c r="D50" s="12" t="str">
        <x:v>Sim</x:v>
      </x:c>
    </x:row>
    <x:row r="51">
      <x:c r="A51" s="11" t="n">
        <x:v>46246.45474537037</x:v>
      </x:c>
      <x:c r="B51" s="12" t="str">
        <x:v>Não</x:v>
      </x:c>
      <x:c r="C51" s="12" t="str">
        <x:v>Sim</x:v>
      </x:c>
      <x:c r="D51" s="12" t="str">
        <x:v>Sim</x:v>
      </x:c>
    </x:row>
    <x:row r="52">
      <x:c r="A52" s="11" t="n">
        <x:v>46246.46076388889</x:v>
      </x:c>
      <x:c r="B52" s="12" t="str">
        <x:v>Sim</x:v>
      </x:c>
      <x:c r="C52" s="12" t="str">
        <x:v>Sim</x:v>
      </x:c>
      <x:c r="D52" s="12" t="str">
        <x:v>Sim</x:v>
      </x:c>
    </x:row>
    <x:row r="53">
      <x:c r="A53" s="11" t="n">
        <x:v>46246.470509259256</x:v>
      </x:c>
      <x:c r="B53" s="12" t="str">
        <x:v>Sim</x:v>
      </x:c>
      <x:c r="C53" s="12" t="str">
        <x:v>Sim</x:v>
      </x:c>
      <x:c r="D53" s="12" t="str">
        <x:v>Sim</x:v>
      </x:c>
    </x:row>
    <x:row r="54">
      <x:c r="A54" s="11" t="n">
        <x:v>46246.48923611111</x:v>
      </x:c>
      <x:c r="B54" s="12" t="str">
        <x:v>Sim</x:v>
      </x:c>
      <x:c r="C54" s="12" t="str">
        <x:v>Sim</x:v>
      </x:c>
      <x:c r="D54" s="12" t="str">
        <x:v>Sim</x:v>
      </x:c>
    </x:row>
    <x:row r="55">
      <x:c r="A55" s="11" t="n">
        <x:v>46246.492997685185</x:v>
      </x:c>
      <x:c r="B55" s="12" t="str">
        <x:v>Sim</x:v>
      </x:c>
      <x:c r="C55" s="12" t="str">
        <x:v>Sim</x:v>
      </x:c>
      <x:c r="D55" s="12" t="str">
        <x:v>Sim</x:v>
      </x:c>
    </x:row>
    <x:row r="56">
      <x:c r="A56" s="11" t="n">
        <x:v>46246.49304398148</x:v>
      </x:c>
      <x:c r="B56" s="12" t="str">
        <x:v>Sim</x:v>
      </x:c>
      <x:c r="C56" s="12" t="str">
        <x:v>Sim</x:v>
      </x:c>
      <x:c r="D56" s="12" t="str">
        <x:v>Sim</x:v>
      </x:c>
    </x:row>
    <x:row r="57">
      <x:c r="A57" s="11" t="n">
        <x:v>46246.493368055555</x:v>
      </x:c>
      <x:c r="B57" s="12" t="str">
        <x:v>Sim</x:v>
      </x:c>
      <x:c r="C57" s="12" t="str">
        <x:v>Sim</x:v>
      </x:c>
      <x:c r="D57" s="12" t="str">
        <x:v>Sim</x:v>
      </x:c>
    </x:row>
    <x:row r="58">
      <x:c r="A58" s="11" t="n">
        <x:v>46246.50225694444</x:v>
      </x:c>
      <x:c r="B58" s="12" t="str">
        <x:v>Sim</x:v>
      </x:c>
      <x:c r="C58" s="12" t="str">
        <x:v>Sim</x:v>
      </x:c>
      <x:c r="D58" s="12" t="str">
        <x:v>Sim</x:v>
      </x:c>
    </x:row>
    <x:row r="59">
      <x:c r="A59" s="11" t="n">
        <x:v>46246.5027662037</x:v>
      </x:c>
      <x:c r="B59" s="12" t="str">
        <x:v>Sim</x:v>
      </x:c>
      <x:c r="C59" s="12" t="str">
        <x:v>Sim</x:v>
      </x:c>
      <x:c r="D59" s="12" t="str">
        <x:v>Sim</x:v>
      </x:c>
    </x:row>
    <x:row r="60">
      <x:c r="A60" s="11" t="n">
        <x:v>46246.511516203704</x:v>
      </x:c>
      <x:c r="B60" s="12" t="str">
        <x:v>Sim</x:v>
      </x:c>
      <x:c r="C60" s="12" t="str">
        <x:v>Não</x:v>
      </x:c>
      <x:c r="D60" s="12" t="str">
        <x:v>Não</x:v>
      </x:c>
    </x:row>
    <x:row r="61">
      <x:c r="A61" s="11" t="n">
        <x:v>46246.5180787037</x:v>
      </x:c>
      <x:c r="B61" s="12" t="str">
        <x:v>Sim</x:v>
      </x:c>
      <x:c r="C61" s="12" t="str">
        <x:v>Não</x:v>
      </x:c>
      <x:c r="D61" s="12" t="str">
        <x:v>Não</x:v>
      </x:c>
    </x:row>
    <x:row r="62">
      <x:c r="A62" s="11" t="n">
        <x:v>46246.52211805555</x:v>
      </x:c>
      <x:c r="B62" s="12" t="str">
        <x:v>Sim</x:v>
      </x:c>
      <x:c r="C62" s="12" t="str">
        <x:v>Sim</x:v>
      </x:c>
      <x:c r="D62" s="12" t="str">
        <x:v>Sim</x:v>
      </x:c>
    </x:row>
    <x:row r="63">
      <x:c r="A63" s="11" t="n">
        <x:v>46246.53104166667</x:v>
      </x:c>
      <x:c r="B63" s="12" t="str">
        <x:v>Sim</x:v>
      </x:c>
      <x:c r="C63" s="12" t="str">
        <x:v>Sim</x:v>
      </x:c>
      <x:c r="D63" s="12" t="str">
        <x:v>Sim</x:v>
      </x:c>
    </x:row>
    <x:row r="64">
      <x:c r="A64" s="11" t="n">
        <x:v>46246.533009259256</x:v>
      </x:c>
      <x:c r="B64" s="12" t="str">
        <x:v>Sim</x:v>
      </x:c>
      <x:c r="C64" s="12" t="str">
        <x:v>Sim</x:v>
      </x:c>
      <x:c r="D64" s="12" t="str">
        <x:v>Sim</x:v>
      </x:c>
    </x:row>
    <x:row r="65">
      <x:c r="A65" s="11" t="n">
        <x:v>46246.53319444445</x:v>
      </x:c>
      <x:c r="B65" s="12" t="str">
        <x:v>Sim</x:v>
      </x:c>
      <x:c r="C65" s="12" t="str">
        <x:v>Sim</x:v>
      </x:c>
      <x:c r="D65" s="12" t="str">
        <x:v>Sim</x:v>
      </x:c>
    </x:row>
    <x:row r="66">
      <x:c r="A66" s="11" t="n">
        <x:v>46246.533854166664</x:v>
      </x:c>
      <x:c r="B66" s="12" t="str">
        <x:v>Não</x:v>
      </x:c>
      <x:c r="C66" s="12" t="str">
        <x:v>Sim</x:v>
      </x:c>
      <x:c r="D66" s="12" t="str">
        <x:v>Sim</x:v>
      </x:c>
    </x:row>
    <x:row r="67">
      <x:c r="A67" s="11" t="n">
        <x:v>46246.542916666665</x:v>
      </x:c>
      <x:c r="B67" s="12" t="str">
        <x:v>Não</x:v>
      </x:c>
      <x:c r="C67" s="12" t="str">
        <x:v>Sim</x:v>
      </x:c>
      <x:c r="D67" s="12" t="str">
        <x:v>Sim</x:v>
      </x:c>
    </x:row>
    <x:row r="68">
      <x:c r="A68" s="11" t="n">
        <x:v>46246.54630787037</x:v>
      </x:c>
      <x:c r="B68" s="12" t="str">
        <x:v>Sim</x:v>
      </x:c>
      <x:c r="C68" s="12" t="str">
        <x:v>Sim</x:v>
      </x:c>
      <x:c r="D68" s="12" t="str">
        <x:v>Sim</x:v>
      </x:c>
    </x:row>
    <x:row r="69">
      <x:c r="A69" s="11" t="n">
        <x:v>46246.55128472222</x:v>
      </x:c>
      <x:c r="B69" s="12" t="str">
        <x:v>Sim</x:v>
      </x:c>
      <x:c r="C69" s="12" t="str">
        <x:v>Sim</x:v>
      </x:c>
      <x:c r="D69" s="12" t="str">
        <x:v>Sim</x:v>
      </x:c>
    </x:row>
    <x:row r="70">
      <x:c r="A70" s="11" t="n">
        <x:v>46246.5615625</x:v>
      </x:c>
      <x:c r="B70" s="12" t="str">
        <x:v>Não</x:v>
      </x:c>
      <x:c r="C70" s="12" t="str">
        <x:v>Não</x:v>
      </x:c>
      <x:c r="D70" s="12" t="str">
        <x:v>Não</x:v>
      </x:c>
    </x:row>
    <x:row r="71">
      <x:c r="A71" s="11" t="n">
        <x:v>46246.56364583333</x:v>
      </x:c>
      <x:c r="B71" s="12" t="str">
        <x:v>Sim</x:v>
      </x:c>
      <x:c r="C71" s="12" t="str">
        <x:v>Sim</x:v>
      </x:c>
      <x:c r="D71" s="12" t="str">
        <x:v>Sim</x:v>
      </x:c>
    </x:row>
    <x:row r="72">
      <x:c r="A72" s="11" t="n">
        <x:v>46246.5746875</x:v>
      </x:c>
      <x:c r="B72" s="12" t="str">
        <x:v>Sim</x:v>
      </x:c>
      <x:c r="C72" s="12" t="str">
        <x:v>Sim</x:v>
      </x:c>
      <x:c r="D72" s="12" t="str">
        <x:v>Sim</x:v>
      </x:c>
    </x:row>
    <x:row r="73">
      <x:c r="A73" s="11" t="n">
        <x:v>46246.61746527778</x:v>
      </x:c>
      <x:c r="B73" s="12" t="str">
        <x:v>Sim</x:v>
      </x:c>
      <x:c r="C73" s="12" t="str">
        <x:v>Sim</x:v>
      </x:c>
      <x:c r="D73" s="12" t="str">
        <x:v>Sim</x:v>
      </x:c>
    </x:row>
    <x:row r="74">
      <x:c r="A74" s="11" t="n">
        <x:v>46246.6803125</x:v>
      </x:c>
      <x:c r="B74" s="12" t="str">
        <x:v>Sim</x:v>
      </x:c>
      <x:c r="C74" s="12" t="str">
        <x:v>Sim</x:v>
      </x:c>
      <x:c r="D74" s="12" t="str">
        <x:v>Sim</x:v>
      </x:c>
    </x:row>
    <x:row r="75">
      <x:c r="A75" s="11" t="n">
        <x:v>46246.75021990741</x:v>
      </x:c>
      <x:c r="B75" s="12" t="str">
        <x:v>Sim</x:v>
      </x:c>
      <x:c r="C75" s="12" t="str">
        <x:v>Sim</x:v>
      </x:c>
      <x:c r="D75" s="12" t="str">
        <x:v>Sim</x:v>
      </x:c>
    </x:row>
    <x:row r="76">
      <x:c r="A76" s="11" t="n">
        <x:v>46247.15074074074</x:v>
      </x:c>
      <x:c r="B76" s="12" t="str">
        <x:v>Sim</x:v>
      </x:c>
      <x:c r="C76" s="12" t="str">
        <x:v>Sim</x:v>
      </x:c>
      <x:c r="D76" s="12" t="str">
        <x:v>Sim</x:v>
      </x:c>
    </x:row>
    <x:row r="77">
      <x:c r="A77" s="11" t="n">
        <x:v>46247.74050925926</x:v>
      </x:c>
      <x:c r="B77" s="12" t="str">
        <x:v>Sim</x:v>
      </x:c>
      <x:c r="C77" s="12" t="str">
        <x:v>Sim</x:v>
      </x:c>
      <x:c r="D77" s="12" t="str">
        <x:v>Sim</x:v>
      </x:c>
    </x:row>
    <x:row r="78">
      <x:c r="A78" s="11" t="n">
        <x:v>46248.444560185184</x:v>
      </x:c>
      <x:c r="B78" s="12" t="str">
        <x:v>Sim</x:v>
      </x:c>
      <x:c r="C78" s="12" t="str">
        <x:v>Sim</x:v>
      </x:c>
      <x:c r="D78" s="12" t="str">
        <x:v>Sim</x:v>
      </x:c>
    </x:row>
    <x:row r="79">
      <x:c r="A79" s="11" t="n">
        <x:v>46248.53623842593</x:v>
      </x:c>
      <x:c r="B79" s="12" t="str">
        <x:v>Não</x:v>
      </x:c>
      <x:c r="C79" s="12" t="str">
        <x:v>Sim</x:v>
      </x:c>
      <x:c r="D79" s="12" t="str">
        <x:v>Sim</x:v>
      </x:c>
    </x:row>
    <x:row r="80">
      <x:c r="A80" s="11" t="n">
        <x:v>46259.54047453704</x:v>
      </x:c>
      <x:c r="B80" s="12" t="str">
        <x:v>Não</x:v>
      </x:c>
      <x:c r="C80" s="12" t="str">
        <x:v>Sim</x:v>
      </x:c>
      <x:c r="D80" s="12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a6130fafd82d4d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4" max="4" width="58" hidden="0" customWidth="1"/>
  </x:cols>
  <x:sheetData>
    <x:row r="1" ht="28" customHeight="1">
      <x:c r="A1" s="17" t="str">
        <x:v>Dobrar a língua em Piracicaba — resumo da pesquisa</x:v>
      </x:c>
      <x:c r="B1" s="17"/>
      <x:c r="C1" s="17"/>
      <x:c r="D1" s="17"/>
    </x:row>
    <x:row r="3">
      <x:c r="A3" s="21" t="str">
        <x:v>Métrica</x:v>
      </x:c>
      <x:c r="B3" s="21" t="str">
        <x:v>Valor</x:v>
      </x:c>
      <x:c r="D3" s="26" t="str">
        <x:v>Notas metodológicas</x:v>
      </x:c>
    </x:row>
    <x:row r="4">
      <x:c r="A4" t="str">
        <x:v>Respostas totais</x:v>
      </x:c>
      <x:c r="B4" t="n">
        <x:f>COUNTA(Respostas!A2:A80)</x:f>
        <x:v>79</x:v>
      </x:c>
      <x:c r="D4" s="12" t="str">
        <x:v>A resposta “santa rita” foi normalizada como Piracicaba, conforme a regra indicada no carrossel.</x:v>
      </x:c>
    </x:row>
    <x:row r="5">
      <x:c r="A5" t="str">
        <x:v>Amostra de Piracicaba</x:v>
      </x:c>
      <x:c r="B5" t="n">
        <x:f>COUNTIF(Respostas!D2:D80,"Sim")</x:f>
        <x:v>73</x:v>
      </x:c>
      <x:c r="D5" s="12" t="str">
        <x:v>O intervalo de confiança de 95% usa o método de Wilson para uma proporção binomial.</x:v>
      </x:c>
    </x:row>
    <x:row r="6">
      <x:c r="A6" t="str">
        <x:v>Outras cidades</x:v>
      </x:c>
      <x:c r="B6" t="n">
        <x:f>COUNTIF(Respostas!D2:D80,"Não")</x:f>
        <x:v>6</x:v>
      </x:c>
      <x:c r="D6" s="12" t="str">
        <x:v>A amostra foi voluntária; os resultados descrevem a amostra e não constituem uma estimativa probabilística representativa da cidade.</x:v>
      </x:c>
    </x:row>
    <x:row r="7">
      <x:c r="A7" t="str">
        <x:v>Piracicaba — SIM</x:v>
      </x:c>
      <x:c r="B7" t="n">
        <x:f>COUNTIFS(Respostas!D2:D80,"Sim",Respostas!B2:B80,"Sim")</x:f>
        <x:v>55</x:v>
      </x:c>
      <x:c r="D7" s="12" t="str">
        <x:v>Fonte primária: exportação do Google Forms anexada ao projeto.</x:v>
      </x:c>
    </x:row>
    <x:row r="8">
      <x:c r="A8" t="str">
        <x:v>Piracicaba — NÃO</x:v>
      </x:c>
      <x:c r="B8" t="n">
        <x:f>COUNTIFS(Respostas!D2:D80,"Sim",Respostas!B2:B80,"Não")</x:f>
        <x:v>18</x:v>
      </x:c>
    </x:row>
    <x:row r="9">
      <x:c r="A9" t="str">
        <x:v>Proporção SIM</x:v>
      </x:c>
      <x:c r="B9" s="24" t="n">
        <x:f>B7/B5</x:f>
        <x:v>0.7534246575342466</x:v>
      </x:c>
    </x:row>
    <x:row r="10">
      <x:c r="A10" t="str">
        <x:v>IC 95% Wilson — inferior</x:v>
      </x:c>
      <x:c r="B10" s="24" t="n">
        <x:f>((B9+3.8414588206939135/(2*B5))/(1+3.8414588206939135/B5))-(1.95996398454*SQRT((B9*(1-B9)/B5)+(3.8414588206939135/(4*B5*B5)))/(1+3.8414588206939135/B5))</x:f>
        <x:v>0.6435555465577534</x:v>
      </x:c>
    </x:row>
    <x:row r="11">
      <x:c r="A11" t="str">
        <x:v>IC 95% Wilson — superior</x:v>
      </x:c>
      <x:c r="B11" s="24" t="n">
        <x:f>((B9+3.8414588206939135/(2*B5))/(1+3.8414588206939135/B5))+(1.95996398454*SQRT((B9*(1-B9)/B5)+(3.8414588206939135/(4*B5*B5)))/(1+3.8414588206939135/B5))</x:f>
        <x:v>0.8379553535194799</x:v>
      </x:c>
    </x:row>
  </x:sheetData>
  <x:mergeCells>
    <x:mergeCell ref="A1:D1"/>
  </x:mergeCells>
  <x:pageMargins left="0.7" right="0.7" top="0.75" bottom="0.75" header="0.3" footer="0.3"/>
</x:worksheet>
</file>